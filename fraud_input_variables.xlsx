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3"/>
    <sheet name="Summary" sheetId="2" state="visible" r:id="rId4"/>
  </sheets>
  <definedNames>
    <definedName function="false" hidden="true" localSheetId="0" name="_xlnm._FilterDatabase" vbProcedure="false">Variables!$A$1:$E$34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<sst xmlns="http://schemas.openxmlformats.org/spreadsheetml/2006/main" count="187" uniqueCount="78">
  <si>
    <t xml:space="preserve">Group</t>
  </si>
  <si>
    <t xml:space="preserve">Variable</t>
  </si>
  <si>
    <t xml:space="preserve">Type / example</t>
  </si>
  <si>
    <t xml:space="preserve">Used by</t>
  </si>
  <si>
    <t xml:space="preserve">Required by spec</t>
  </si>
  <si>
    <t xml:space="preserve">Transaction</t>
  </si>
  <si>
    <t xml:space="preserve">Amount</t>
  </si>
  <si>
    <t xml:space="preserve">number, 50000</t>
  </si>
  <si>
    <t xml:space="preserve">w3, w9</t>
  </si>
  <si>
    <t xml:space="preserve">Yes</t>
  </si>
  <si>
    <t xml:space="preserve">Sender currency</t>
  </si>
  <si>
    <t xml:space="preserve">code, USD</t>
  </si>
  <si>
    <t xml:space="preserve">w10</t>
  </si>
  <si>
    <t xml:space="preserve">Receiver currency</t>
  </si>
  <si>
    <t xml:space="preserve">code, THB (defaults to sender currency)</t>
  </si>
  <si>
    <t xml:space="preserve">No</t>
  </si>
  <si>
    <t xml:space="preserve">Time of transaction</t>
  </si>
  <si>
    <t xml:space="preserve">HH:MM, 02:00</t>
  </si>
  <si>
    <t xml:space="preserve">w4</t>
  </si>
  <si>
    <t xml:space="preserve">A-B distance</t>
  </si>
  <si>
    <t xml:space="preserve">Sender (A) country</t>
  </si>
  <si>
    <t xml:space="preserve">code, TH</t>
  </si>
  <si>
    <t xml:space="preserve">w2, w10</t>
  </si>
  <si>
    <t xml:space="preserve">Receiver (B) country</t>
  </si>
  <si>
    <t xml:space="preserve">code, US</t>
  </si>
  <si>
    <t xml:space="preserve">Distance A&lt;-&gt;B in km</t>
  </si>
  <si>
    <t xml:space="preserve">number, 14000 (only asked if the countries differ)</t>
  </si>
  <si>
    <t xml:space="preserve">w2</t>
  </si>
  <si>
    <t xml:space="preserve">A-B relation</t>
  </si>
  <si>
    <t xml:space="preserve">Prior A-&gt;B amounts</t>
  </si>
  <si>
    <t xml:space="preserve">comma-separated list, or none</t>
  </si>
  <si>
    <t xml:space="preserve">w1, w3</t>
  </si>
  <si>
    <t xml:space="preserve">Days since last A-&gt;B transaction</t>
  </si>
  <si>
    <t xml:space="preserve">number (only asked if there is history)</t>
  </si>
  <si>
    <t xml:space="preserve">LinkedIn / business connection</t>
  </si>
  <si>
    <t xml:space="preserve">y/n</t>
  </si>
  <si>
    <t xml:space="preserve">w1</t>
  </si>
  <si>
    <t xml:space="preserve">Social media connection</t>
  </si>
  <si>
    <t xml:space="preserve">B in A's contact list</t>
  </si>
  <si>
    <t xml:space="preserve">Sender A</t>
  </si>
  <si>
    <t xml:space="preserve">Account age (days)</t>
  </si>
  <si>
    <t xml:space="preserve">number</t>
  </si>
  <si>
    <t xml:space="preserve">w8</t>
  </si>
  <si>
    <t xml:space="preserve">KYC verified</t>
  </si>
  <si>
    <t xml:space="preserve">Account status "verified"</t>
  </si>
  <si>
    <t xml:space="preserve">Flagged for fraud</t>
  </si>
  <si>
    <t xml:space="preserve">Prior fraud reports</t>
  </si>
  <si>
    <t xml:space="preserve">Dispute rate</t>
  </si>
  <si>
    <t xml:space="preserve">0-1, e.g. 0.05</t>
  </si>
  <si>
    <t xml:space="preserve">Transactions A made in the last hour</t>
  </si>
  <si>
    <t xml:space="preserve">Device and IP</t>
  </si>
  <si>
    <t xml:space="preserve">Device</t>
  </si>
  <si>
    <t xml:space="preserve">"new", or days since last used</t>
  </si>
  <si>
    <t xml:space="preserve">w6</t>
  </si>
  <si>
    <t xml:space="preserve">IP distance from A's home (km)</t>
  </si>
  <si>
    <t xml:space="preserve">Receiver B</t>
  </si>
  <si>
    <t xml:space="preserve">Type</t>
  </si>
  <si>
    <t xml:space="preserve">consumer / merchant</t>
  </si>
  <si>
    <t xml:space="preserve">w9</t>
  </si>
  <si>
    <t xml:space="preserve">Merchant category</t>
  </si>
  <si>
    <t xml:space="preserve">e.g. gambling, cryptocurrency, or blank</t>
  </si>
  <si>
    <t xml:space="preserve">w5</t>
  </si>
  <si>
    <t xml:space="preserve">Blacklisted</t>
  </si>
  <si>
    <t xml:space="preserve">0-1</t>
  </si>
  <si>
    <t xml:space="preserve">w7</t>
  </si>
  <si>
    <t xml:space="preserve">Incoming transactions, last hour</t>
  </si>
  <si>
    <t xml:space="preserve">Incoming transactions, last 24 hours</t>
  </si>
  <si>
    <t xml:space="preserve">Many micro-transactions (&lt;100 USD)</t>
  </si>
  <si>
    <t xml:space="preserve">Unique senders, last 30 days</t>
  </si>
  <si>
    <t xml:space="preserve">Fraud model - input variable summary</t>
  </si>
  <si>
    <t xml:space="preserve">Variables</t>
  </si>
  <si>
    <t xml:space="preserve">Total</t>
  </si>
  <si>
    <t xml:space="preserve">Notes</t>
  </si>
  <si>
    <t xml:space="preserve">Source: the prompts in fraud_cli.py and the factor definitions (w1-w10) in the AI Fraud Detection Model spec v1.0.</t>
  </si>
  <si>
    <t xml:space="preserve">'Required by spec' follows the spec's mandatory fields: amount, currency, timestamp and both countries. Every other field is optional and falls back to a default.</t>
  </si>
  <si>
    <t xml:space="preserve">The sender and receiver IDs are also mandatory in the spec; fraud_cli.py fills them in as A and B, so they are not listed above.</t>
  </si>
  <si>
    <t xml:space="preserve">The number of prior A-&gt;B transactions is not a separate input: it is the length of the 'Prior A-&gt;B amounts' list.</t>
  </si>
  <si>
    <t xml:space="preserve">In production most of these fields would come from the database or geolocation, not be typed by a person.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</si>
</sst>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customFormat="false" ht="15" hidden="false" customHeight="false" outlineLevel="0" collapsed="false">
      <c r="A3" s="2" t="s">
        <v>5</v>
      </c>
      <c r="B3" s="3" t="s">
        <v>10</v>
      </c>
      <c r="C3" s="3" t="s">
        <v>11</v>
      </c>
      <c r="D3" s="3" t="s">
        <v>12</v>
      </c>
      <c r="E3" s="4" t="s">
        <v>9</v>
      </c>
    </row>
    <row r="4" customFormat="false" ht="15" hidden="false" customHeight="false" outlineLevel="0" collapsed="false">
      <c r="A4" s="2" t="s">
        <v>5</v>
      </c>
      <c r="B4" s="3" t="s">
        <v>13</v>
      </c>
      <c r="C4" s="3" t="s">
        <v>14</v>
      </c>
      <c r="D4" s="3" t="s">
        <v>12</v>
      </c>
      <c r="E4" s="4" t="s">
        <v>15</v>
      </c>
    </row>
    <row r="5" customFormat="false" ht="15" hidden="false" customHeight="false" outlineLevel="0" collapsed="false">
      <c r="A5" s="2" t="s">
        <v>5</v>
      </c>
      <c r="B5" s="3" t="s">
        <v>16</v>
      </c>
      <c r="C5" s="3" t="s">
        <v>17</v>
      </c>
      <c r="D5" s="3" t="s">
        <v>18</v>
      </c>
      <c r="E5" s="4" t="s">
        <v>9</v>
      </c>
    </row>
    <row r="6" customFormat="false" ht="15" hidden="false" customHeight="false" outlineLevel="0" collapsed="false">
      <c r="A6" s="5" t="s">
        <v>19</v>
      </c>
      <c r="B6" s="6" t="s">
        <v>20</v>
      </c>
      <c r="C6" s="6" t="s">
        <v>21</v>
      </c>
      <c r="D6" s="6" t="s">
        <v>22</v>
      </c>
      <c r="E6" s="7" t="s">
        <v>9</v>
      </c>
    </row>
    <row r="7" customFormat="false" ht="15" hidden="false" customHeight="false" outlineLevel="0" collapsed="false">
      <c r="A7" s="5" t="s">
        <v>19</v>
      </c>
      <c r="B7" s="6" t="s">
        <v>23</v>
      </c>
      <c r="C7" s="6" t="s">
        <v>24</v>
      </c>
      <c r="D7" s="6" t="s">
        <v>22</v>
      </c>
      <c r="E7" s="7" t="s">
        <v>9</v>
      </c>
    </row>
    <row r="8" customFormat="false" ht="15" hidden="false" customHeight="false" outlineLevel="0" collapsed="false">
      <c r="A8" s="5" t="s">
        <v>19</v>
      </c>
      <c r="B8" s="6" t="s">
        <v>25</v>
      </c>
      <c r="C8" s="6" t="s">
        <v>26</v>
      </c>
      <c r="D8" s="6" t="s">
        <v>27</v>
      </c>
      <c r="E8" s="7" t="s">
        <v>15</v>
      </c>
    </row>
    <row r="9" customFormat="false" ht="15" hidden="false" customHeight="false" outlineLevel="0" collapsed="false">
      <c r="A9" s="2" t="s">
        <v>28</v>
      </c>
      <c r="B9" s="3" t="s">
        <v>29</v>
      </c>
      <c r="C9" s="3" t="s">
        <v>30</v>
      </c>
      <c r="D9" s="3" t="s">
        <v>31</v>
      </c>
      <c r="E9" s="4" t="s">
        <v>15</v>
      </c>
    </row>
    <row r="10" customFormat="false" ht="15" hidden="false" customHeight="false" outlineLevel="0" collapsed="false">
      <c r="A10" s="2" t="s">
        <v>28</v>
      </c>
      <c r="B10" s="3" t="s">
        <v>32</v>
      </c>
      <c r="C10" s="3" t="s">
        <v>33</v>
      </c>
      <c r="D10" s="3" t="s">
        <v>18</v>
      </c>
      <c r="E10" s="4" t="s">
        <v>15</v>
      </c>
    </row>
    <row r="11" customFormat="false" ht="15" hidden="false" customHeight="false" outlineLevel="0" collapsed="false">
      <c r="A11" s="2" t="s">
        <v>28</v>
      </c>
      <c r="B11" s="3" t="s">
        <v>34</v>
      </c>
      <c r="C11" s="3" t="s">
        <v>35</v>
      </c>
      <c r="D11" s="3" t="s">
        <v>36</v>
      </c>
      <c r="E11" s="4" t="s">
        <v>15</v>
      </c>
    </row>
    <row r="12" customFormat="false" ht="15" hidden="false" customHeight="false" outlineLevel="0" collapsed="false">
      <c r="A12" s="2" t="s">
        <v>28</v>
      </c>
      <c r="B12" s="3" t="s">
        <v>37</v>
      </c>
      <c r="C12" s="3" t="s">
        <v>35</v>
      </c>
      <c r="D12" s="3" t="s">
        <v>36</v>
      </c>
      <c r="E12" s="4" t="s">
        <v>15</v>
      </c>
    </row>
    <row r="13" customFormat="false" ht="15" hidden="false" customHeight="false" outlineLevel="0" collapsed="false">
      <c r="A13" s="2" t="s">
        <v>28</v>
      </c>
      <c r="B13" s="3" t="s">
        <v>38</v>
      </c>
      <c r="C13" s="3" t="s">
        <v>35</v>
      </c>
      <c r="D13" s="3" t="s">
        <v>36</v>
      </c>
      <c r="E13" s="4" t="s">
        <v>15</v>
      </c>
    </row>
    <row r="14" customFormat="false" ht="15" hidden="false" customHeight="false" outlineLevel="0" collapsed="false">
      <c r="A14" s="5" t="s">
        <v>39</v>
      </c>
      <c r="B14" s="6" t="s">
        <v>40</v>
      </c>
      <c r="C14" s="6" t="s">
        <v>41</v>
      </c>
      <c r="D14" s="6" t="s">
        <v>42</v>
      </c>
      <c r="E14" s="7" t="s">
        <v>15</v>
      </c>
    </row>
    <row r="15" customFormat="false" ht="15" hidden="false" customHeight="false" outlineLevel="0" collapsed="false">
      <c r="A15" s="5" t="s">
        <v>39</v>
      </c>
      <c r="B15" s="6" t="s">
        <v>43</v>
      </c>
      <c r="C15" s="6" t="s">
        <v>35</v>
      </c>
      <c r="D15" s="6" t="s">
        <v>42</v>
      </c>
      <c r="E15" s="7" t="s">
        <v>15</v>
      </c>
    </row>
    <row r="16" customFormat="false" ht="15" hidden="false" customHeight="false" outlineLevel="0" collapsed="false">
      <c r="A16" s="5" t="s">
        <v>39</v>
      </c>
      <c r="B16" s="6" t="s">
        <v>44</v>
      </c>
      <c r="C16" s="6" t="s">
        <v>35</v>
      </c>
      <c r="D16" s="6" t="s">
        <v>42</v>
      </c>
      <c r="E16" s="7" t="s">
        <v>15</v>
      </c>
    </row>
    <row r="17" customFormat="false" ht="15" hidden="false" customHeight="false" outlineLevel="0" collapsed="false">
      <c r="A17" s="5" t="s">
        <v>39</v>
      </c>
      <c r="B17" s="6" t="s">
        <v>45</v>
      </c>
      <c r="C17" s="6" t="s">
        <v>35</v>
      </c>
      <c r="D17" s="6" t="s">
        <v>42</v>
      </c>
      <c r="E17" s="7" t="s">
        <v>15</v>
      </c>
    </row>
    <row r="18" customFormat="false" ht="15" hidden="false" customHeight="false" outlineLevel="0" collapsed="false">
      <c r="A18" s="5" t="s">
        <v>39</v>
      </c>
      <c r="B18" s="6" t="s">
        <v>46</v>
      </c>
      <c r="C18" s="6" t="s">
        <v>41</v>
      </c>
      <c r="D18" s="6" t="s">
        <v>42</v>
      </c>
      <c r="E18" s="7" t="s">
        <v>15</v>
      </c>
    </row>
    <row r="19" customFormat="false" ht="15" hidden="false" customHeight="false" outlineLevel="0" collapsed="false">
      <c r="A19" s="5" t="s">
        <v>39</v>
      </c>
      <c r="B19" s="6" t="s">
        <v>47</v>
      </c>
      <c r="C19" s="6" t="s">
        <v>48</v>
      </c>
      <c r="D19" s="6" t="s">
        <v>42</v>
      </c>
      <c r="E19" s="7" t="s">
        <v>15</v>
      </c>
    </row>
    <row r="20" customFormat="false" ht="15" hidden="false" customHeight="false" outlineLevel="0" collapsed="false">
      <c r="A20" s="5" t="s">
        <v>39</v>
      </c>
      <c r="B20" s="6" t="s">
        <v>49</v>
      </c>
      <c r="C20" s="6" t="s">
        <v>41</v>
      </c>
      <c r="D20" s="6" t="s">
        <v>18</v>
      </c>
      <c r="E20" s="7" t="s">
        <v>15</v>
      </c>
    </row>
    <row r="21" customFormat="false" ht="15" hidden="false" customHeight="false" outlineLevel="0" collapsed="false">
      <c r="A21" s="2" t="s">
        <v>50</v>
      </c>
      <c r="B21" s="3" t="s">
        <v>51</v>
      </c>
      <c r="C21" s="3" t="s">
        <v>52</v>
      </c>
      <c r="D21" s="3" t="s">
        <v>53</v>
      </c>
      <c r="E21" s="4" t="s">
        <v>15</v>
      </c>
    </row>
    <row r="22" customFormat="false" ht="15" hidden="false" customHeight="false" outlineLevel="0" collapsed="false">
      <c r="A22" s="2" t="s">
        <v>50</v>
      </c>
      <c r="B22" s="3" t="s">
        <v>54</v>
      </c>
      <c r="C22" s="3" t="s">
        <v>41</v>
      </c>
      <c r="D22" s="3" t="s">
        <v>53</v>
      </c>
      <c r="E22" s="4" t="s">
        <v>15</v>
      </c>
    </row>
    <row r="23" customFormat="false" ht="15" hidden="false" customHeight="false" outlineLevel="0" collapsed="false">
      <c r="A23" s="5" t="s">
        <v>55</v>
      </c>
      <c r="B23" s="6" t="s">
        <v>56</v>
      </c>
      <c r="C23" s="6" t="s">
        <v>57</v>
      </c>
      <c r="D23" s="6" t="s">
        <v>58</v>
      </c>
      <c r="E23" s="7" t="s">
        <v>15</v>
      </c>
    </row>
    <row r="24" customFormat="false" ht="15" hidden="false" customHeight="false" outlineLevel="0" collapsed="false">
      <c r="A24" s="5" t="s">
        <v>55</v>
      </c>
      <c r="B24" s="6" t="s">
        <v>59</v>
      </c>
      <c r="C24" s="6" t="s">
        <v>60</v>
      </c>
      <c r="D24" s="6" t="s">
        <v>61</v>
      </c>
      <c r="E24" s="7" t="s">
        <v>15</v>
      </c>
    </row>
    <row r="25" customFormat="false" ht="15" hidden="false" customHeight="false" outlineLevel="0" collapsed="false">
      <c r="A25" s="5" t="s">
        <v>55</v>
      </c>
      <c r="B25" s="6" t="s">
        <v>40</v>
      </c>
      <c r="C25" s="6" t="s">
        <v>41</v>
      </c>
      <c r="D25" s="6" t="s">
        <v>61</v>
      </c>
      <c r="E25" s="7" t="s">
        <v>15</v>
      </c>
    </row>
    <row r="26" customFormat="false" ht="15" hidden="false" customHeight="false" outlineLevel="0" collapsed="false">
      <c r="A26" s="5" t="s">
        <v>55</v>
      </c>
      <c r="B26" s="6" t="s">
        <v>43</v>
      </c>
      <c r="C26" s="6" t="s">
        <v>35</v>
      </c>
      <c r="D26" s="6" t="s">
        <v>61</v>
      </c>
      <c r="E26" s="7" t="s">
        <v>15</v>
      </c>
    </row>
    <row r="27" customFormat="false" ht="15" hidden="false" customHeight="false" outlineLevel="0" collapsed="false">
      <c r="A27" s="5" t="s">
        <v>55</v>
      </c>
      <c r="B27" s="6" t="s">
        <v>44</v>
      </c>
      <c r="C27" s="6" t="s">
        <v>35</v>
      </c>
      <c r="D27" s="6" t="s">
        <v>61</v>
      </c>
      <c r="E27" s="7" t="s">
        <v>15</v>
      </c>
    </row>
    <row r="28" customFormat="false" ht="15" hidden="false" customHeight="false" outlineLevel="0" collapsed="false">
      <c r="A28" s="5" t="s">
        <v>55</v>
      </c>
      <c r="B28" s="6" t="s">
        <v>45</v>
      </c>
      <c r="C28" s="6" t="s">
        <v>35</v>
      </c>
      <c r="D28" s="6" t="s">
        <v>61</v>
      </c>
      <c r="E28" s="7" t="s">
        <v>15</v>
      </c>
    </row>
    <row r="29" customFormat="false" ht="15" hidden="false" customHeight="false" outlineLevel="0" collapsed="false">
      <c r="A29" s="5" t="s">
        <v>55</v>
      </c>
      <c r="B29" s="6" t="s">
        <v>62</v>
      </c>
      <c r="C29" s="6" t="s">
        <v>35</v>
      </c>
      <c r="D29" s="6" t="s">
        <v>61</v>
      </c>
      <c r="E29" s="7" t="s">
        <v>15</v>
      </c>
    </row>
    <row r="30" customFormat="false" ht="15" hidden="false" customHeight="false" outlineLevel="0" collapsed="false">
      <c r="A30" s="5" t="s">
        <v>55</v>
      </c>
      <c r="B30" s="6" t="s">
        <v>47</v>
      </c>
      <c r="C30" s="6" t="s">
        <v>63</v>
      </c>
      <c r="D30" s="6" t="s">
        <v>64</v>
      </c>
      <c r="E30" s="7" t="s">
        <v>15</v>
      </c>
    </row>
    <row r="31" customFormat="false" ht="15" hidden="false" customHeight="false" outlineLevel="0" collapsed="false">
      <c r="A31" s="5" t="s">
        <v>55</v>
      </c>
      <c r="B31" s="6" t="s">
        <v>65</v>
      </c>
      <c r="C31" s="6" t="s">
        <v>41</v>
      </c>
      <c r="D31" s="6" t="s">
        <v>64</v>
      </c>
      <c r="E31" s="7" t="s">
        <v>15</v>
      </c>
    </row>
    <row r="32" customFormat="false" ht="15" hidden="false" customHeight="false" outlineLevel="0" collapsed="false">
      <c r="A32" s="5" t="s">
        <v>55</v>
      </c>
      <c r="B32" s="6" t="s">
        <v>66</v>
      </c>
      <c r="C32" s="6" t="s">
        <v>41</v>
      </c>
      <c r="D32" s="6" t="s">
        <v>64</v>
      </c>
      <c r="E32" s="7" t="s">
        <v>15</v>
      </c>
    </row>
    <row r="33" customFormat="false" ht="15" hidden="false" customHeight="false" outlineLevel="0" collapsed="false">
      <c r="A33" s="5" t="s">
        <v>55</v>
      </c>
      <c r="B33" s="6" t="s">
        <v>67</v>
      </c>
      <c r="C33" s="6" t="s">
        <v>35</v>
      </c>
      <c r="D33" s="6" t="s">
        <v>64</v>
      </c>
      <c r="E33" s="7" t="s">
        <v>15</v>
      </c>
    </row>
    <row r="34" customFormat="false" ht="15" hidden="false" customHeight="false" outlineLevel="0" collapsed="false">
      <c r="A34" s="5" t="s">
        <v>55</v>
      </c>
      <c r="B34" s="6" t="s">
        <v>68</v>
      </c>
      <c r="C34" s="6" t="s">
        <v>41</v>
      </c>
      <c r="D34" s="6" t="s">
        <v>64</v>
      </c>
      <c r="E34" s="7" t="s">
        <v>15</v>
      </c>
    </row>
  </sheetData>
  <autoFilter ref="A1:E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4"/>
  </cols>
  <sheetData>
    <row r="1" customFormat="false" ht="16.15" hidden="false" customHeight="false" outlineLevel="0" collapsed="false">
      <c r="A1" s="8" t="s">
        <v>69</v>
      </c>
    </row>
    <row r="3" customFormat="false" ht="15" hidden="false" customHeight="false" outlineLevel="0" collapsed="false">
      <c r="A3" s="9" t="s">
        <v>0</v>
      </c>
      <c r="B3" s="9" t="s">
        <v>70</v>
      </c>
      <c r="C3" s="9" t="s">
        <v>4</v>
      </c>
    </row>
    <row r="4" customFormat="false" ht="15" hidden="false" customHeight="false" outlineLevel="0" collapsed="false">
      <c r="A4" s="10" t="s">
        <v>5</v>
      </c>
      <c r="B4" s="11" t="n">
        <f aca="false">COUNTIF(Variables!$A$2:$A$34,A4)</f>
        <v>4</v>
      </c>
      <c r="C4" s="11" t="n">
        <f aca="false">COUNTIFS(Variables!$A$2:$A$34,A4,Variables!$E$2:$E$34,"Yes")</f>
        <v>3</v>
      </c>
    </row>
    <row r="5" customFormat="false" ht="15" hidden="false" customHeight="false" outlineLevel="0" collapsed="false">
      <c r="A5" s="10" t="s">
        <v>19</v>
      </c>
      <c r="B5" s="11" t="n">
        <f aca="false">COUNTIF(Variables!$A$2:$A$34,A5)</f>
        <v>3</v>
      </c>
      <c r="C5" s="11" t="n">
        <f aca="false">COUNTIFS(Variables!$A$2:$A$34,A5,Variables!$E$2:$E$34,"Yes")</f>
        <v>2</v>
      </c>
    </row>
    <row r="6" customFormat="false" ht="15" hidden="false" customHeight="false" outlineLevel="0" collapsed="false">
      <c r="A6" s="10" t="s">
        <v>28</v>
      </c>
      <c r="B6" s="11" t="n">
        <f aca="false">COUNTIF(Variables!$A$2:$A$34,A6)</f>
        <v>5</v>
      </c>
      <c r="C6" s="11" t="n">
        <f aca="false">COUNTIFS(Variables!$A$2:$A$34,A6,Variables!$E$2:$E$34,"Yes")</f>
        <v>0</v>
      </c>
    </row>
    <row r="7" customFormat="false" ht="15" hidden="false" customHeight="false" outlineLevel="0" collapsed="false">
      <c r="A7" s="10" t="s">
        <v>39</v>
      </c>
      <c r="B7" s="11" t="n">
        <f aca="false">COUNTIF(Variables!$A$2:$A$34,A7)</f>
        <v>7</v>
      </c>
      <c r="C7" s="11" t="n">
        <f aca="false">COUNTIFS(Variables!$A$2:$A$34,A7,Variables!$E$2:$E$34,"Yes")</f>
        <v>0</v>
      </c>
    </row>
    <row r="8" customFormat="false" ht="15" hidden="false" customHeight="false" outlineLevel="0" collapsed="false">
      <c r="A8" s="10" t="s">
        <v>50</v>
      </c>
      <c r="B8" s="11" t="n">
        <f aca="false">COUNTIF(Variables!$A$2:$A$34,A8)</f>
        <v>2</v>
      </c>
      <c r="C8" s="11" t="n">
        <f aca="false">COUNTIFS(Variables!$A$2:$A$34,A8,Variables!$E$2:$E$34,"Yes")</f>
        <v>0</v>
      </c>
    </row>
    <row r="9" customFormat="false" ht="15" hidden="false" customHeight="false" outlineLevel="0" collapsed="false">
      <c r="A9" s="10" t="s">
        <v>55</v>
      </c>
      <c r="B9" s="11" t="n">
        <f aca="false">COUNTIF(Variables!$A$2:$A$34,A9)</f>
        <v>12</v>
      </c>
      <c r="C9" s="11" t="n">
        <f aca="false">COUNTIFS(Variables!$A$2:$A$34,A9,Variables!$E$2:$E$34,"Yes")</f>
        <v>0</v>
      </c>
    </row>
    <row r="10" customFormat="false" ht="15" hidden="false" customHeight="false" outlineLevel="0" collapsed="false">
      <c r="A10" s="12" t="s">
        <v>71</v>
      </c>
      <c r="B10" s="13" t="n">
        <f aca="false">SUM(B4:B9)</f>
        <v>33</v>
      </c>
      <c r="C10" s="13" t="n">
        <f aca="false">SUM(C4:C9)</f>
        <v>5</v>
      </c>
    </row>
    <row r="12" customFormat="false" ht="15" hidden="false" customHeight="false" outlineLevel="0" collapsed="false">
      <c r="A12" s="14" t="s">
        <v>72</v>
      </c>
    </row>
    <row r="13" customFormat="false" ht="27.75" hidden="false" customHeight="true" outlineLevel="0" collapsed="false">
      <c r="A13" s="15" t="s">
        <v>73</v>
      </c>
      <c r="B13" s="15"/>
      <c r="C13" s="15"/>
      <c r="D13" s="15"/>
      <c r="E13" s="15"/>
      <c r="F13" s="15"/>
    </row>
    <row r="14" customFormat="false" ht="27.75" hidden="false" customHeight="true" outlineLevel="0" collapsed="false">
      <c r="A14" s="15" t="s">
        <v>74</v>
      </c>
      <c r="B14" s="15"/>
      <c r="C14" s="15"/>
      <c r="D14" s="15"/>
      <c r="E14" s="15"/>
      <c r="F14" s="15"/>
    </row>
    <row r="15" customFormat="false" ht="27.75" hidden="false" customHeight="true" outlineLevel="0" collapsed="false">
      <c r="A15" s="15" t="s">
        <v>75</v>
      </c>
      <c r="B15" s="15"/>
      <c r="C15" s="15"/>
      <c r="D15" s="15"/>
      <c r="E15" s="15"/>
      <c r="F15" s="15"/>
    </row>
    <row r="16" customFormat="false" ht="27.75" hidden="false" customHeight="true" outlineLevel="0" collapsed="false">
      <c r="A16" s="15" t="s">
        <v>76</v>
      </c>
      <c r="B16" s="15"/>
      <c r="C16" s="15"/>
      <c r="D16" s="15"/>
      <c r="E16" s="15"/>
      <c r="F16" s="15"/>
    </row>
    <row r="17" customFormat="false" ht="27.75" hidden="false" customHeight="true" outlineLevel="0" collapsed="false">
      <c r="A17" s="15" t="s">
        <v>77</v>
      </c>
      <c r="B17" s="15"/>
      <c r="C17" s="15"/>
      <c r="D17" s="15"/>
      <c r="E17" s="15"/>
      <c r="F17" s="15"/>
    </row>
  </sheetData>
  <mergeCells count="5"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2026-10-15T06:35:05Z</dcterms:created>
  <dc:creator>openpyxl</dc:creator>
  <dc:description/>
  <dc:language>en-US</dc:language>
  <cp:lastModifiedBy/>
  <dcterms:modified xsi:type="dcterms:W3CDTF">2026-10-15T06:35:05Z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